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.pacheco.UNEATPDIPAS\Desktop\"/>
    </mc:Choice>
  </mc:AlternateContent>
  <xr:revisionPtr revIDLastSave="0" documentId="8_{1159056D-1AFC-40A3-8C74-C019D6934D34}" xr6:coauthVersionLast="47" xr6:coauthVersionMax="47" xr10:uidLastSave="{00000000-0000-0000-0000-000000000000}"/>
  <bookViews>
    <workbookView xWindow="-120" yWindow="-120" windowWidth="29040" windowHeight="15840" xr2:uid="{A9074C93-4CF9-415A-B6A8-53EE1D60B567}"/>
  </bookViews>
  <sheets>
    <sheet name="Hoja1" sheetId="1" r:id="rId1"/>
  </sheets>
  <calcPr calcId="191029"/>
</workbook>
</file>

<file path=xl/calcChain.xml><?xml version="1.0" encoding="utf-8"?>
<calcChain xmlns="http://schemas.openxmlformats.org/spreadsheetml/2006/main">
  <c r="AB2" i="1" l="1"/>
  <c r="N2" i="1"/>
  <c r="L2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47EF4DEA-2AC2-48FF-87BD-BEAFD4D9048A}">
      <text>
        <r>
          <rPr>
            <sz val="10"/>
            <color rgb="FF000000"/>
            <rFont val="Arial"/>
            <family val="2"/>
          </rPr>
          <t>Título del proyecto original</t>
        </r>
      </text>
    </comment>
    <comment ref="D1" authorId="0" shapeId="0" xr:uid="{E036D25C-ED53-498F-8A2B-98C080C968BD}">
      <text>
        <r>
          <rPr>
            <sz val="10"/>
            <color rgb="FF000000"/>
            <rFont val="Arial"/>
            <family val="2"/>
          </rPr>
          <t>persona responsable/coordinadora de la nueva propuesta de proyecto</t>
        </r>
      </text>
    </comment>
    <comment ref="E1" authorId="0" shapeId="0" xr:uid="{A015CBB2-10C3-443C-92A9-7746D62C3D95}">
      <text>
        <r>
          <rPr>
            <sz val="10"/>
            <color rgb="FF000000"/>
            <rFont val="Arial"/>
            <family val="2"/>
          </rPr>
          <t>persona responsable de la gestión administrativa y justificativa del proyecto aprobado</t>
        </r>
      </text>
    </comment>
    <comment ref="H1" authorId="0" shapeId="0" xr:uid="{EEAD8CC8-7668-4A82-97C8-AD941B1E883F}">
      <text>
        <r>
          <rPr>
            <sz val="10"/>
            <color rgb="FF000000"/>
            <rFont val="Arial"/>
            <family val="2"/>
          </rPr>
          <t>Fecha límite de entrega según convocatoria</t>
        </r>
      </text>
    </comment>
    <comment ref="K1" authorId="0" shapeId="0" xr:uid="{7B087EE1-B479-4182-942A-FA8F1280BF99}">
      <text>
        <r>
          <rPr>
            <sz val="10"/>
            <color rgb="FF000000"/>
            <rFont val="Arial"/>
            <family val="2"/>
          </rPr>
          <t>Fecha de entrega efectiva o fecha prevista</t>
        </r>
      </text>
    </comment>
    <comment ref="M1" authorId="0" shapeId="0" xr:uid="{5C6B9B6E-0B78-4BD4-A0EE-78785A248D49}">
      <text>
        <r>
          <rPr>
            <sz val="10"/>
            <color rgb="FF000000"/>
            <rFont val="Arial"/>
            <family val="2"/>
          </rPr>
          <t>Fecha de resolución prevista  o efectiva</t>
        </r>
      </text>
    </comment>
    <comment ref="O1" authorId="0" shapeId="0" xr:uid="{155E1EEA-B7E1-4FD9-9EBE-7ED65BEC3A14}">
      <text>
        <r>
          <rPr>
            <sz val="10"/>
            <color rgb="FF000000"/>
            <rFont val="Arial"/>
            <family val="2"/>
          </rPr>
          <t>País donde se presenta</t>
        </r>
      </text>
    </comment>
    <comment ref="P1" authorId="0" shapeId="0" xr:uid="{AE475014-51DA-4FC8-9D9A-94AD56C2240D}">
      <text>
        <r>
          <rPr>
            <sz val="10"/>
            <color rgb="FF000000"/>
            <rFont val="Arial"/>
            <family val="2"/>
          </rPr>
          <t>INV (investigación)</t>
        </r>
        <r>
          <rPr>
            <sz val="10"/>
            <color rgb="FF000000"/>
            <rFont val="Arial"/>
            <family val="2"/>
          </rPr>
          <t xml:space="preserve">
INNO (innovacion)</t>
        </r>
        <r>
          <rPr>
            <sz val="10"/>
            <color rgb="FF000000"/>
            <rFont val="Arial"/>
            <family val="2"/>
          </rPr>
          <t xml:space="preserve">
CI(Cooperación Internacional)</t>
        </r>
        <r>
          <rPr>
            <sz val="10"/>
            <color rgb="FF000000"/>
            <rFont val="Arial"/>
            <family val="2"/>
          </rPr>
          <t xml:space="preserve">
LIC (licitación/concurso)</t>
        </r>
        <r>
          <rPr>
            <sz val="10"/>
            <color rgb="FF000000"/>
            <rFont val="Arial"/>
            <family val="2"/>
          </rPr>
          <t xml:space="preserve">
FOR (formación)</t>
        </r>
        <r>
          <rPr>
            <sz val="10"/>
            <color rgb="FF000000"/>
            <rFont val="Arial"/>
            <family val="2"/>
          </rPr>
          <t xml:space="preserve">
CONS (consultoría)</t>
        </r>
      </text>
    </comment>
    <comment ref="Q1" authorId="0" shapeId="0" xr:uid="{537D9C60-9174-4D4E-BA2D-98787DCCE400}">
      <text>
        <r>
          <rPr>
            <sz val="10"/>
            <color rgb="FF000000"/>
            <rFont val="Arial"/>
            <family val="2"/>
          </rPr>
          <t>CC (concurrencia competitiva)</t>
        </r>
        <r>
          <rPr>
            <sz val="10"/>
            <color rgb="FF000000"/>
            <rFont val="Arial"/>
            <family val="2"/>
          </rPr>
          <t xml:space="preserve">
CP(contrato privado)</t>
        </r>
        <r>
          <rPr>
            <sz val="10"/>
            <color rgb="FF000000"/>
            <rFont val="Arial"/>
            <family val="2"/>
          </rPr>
          <t xml:space="preserve">
</t>
        </r>
      </text>
    </comment>
    <comment ref="R1" authorId="0" shapeId="0" xr:uid="{784E3355-B40E-4789-8773-649D4672698A}">
      <text>
        <r>
          <rPr>
            <sz val="10"/>
            <color rgb="FF000000"/>
            <rFont val="Arial"/>
            <family val="2"/>
          </rPr>
          <t>EDUCACIÓN</t>
        </r>
        <r>
          <rPr>
            <sz val="10"/>
            <color rgb="FF000000"/>
            <rFont val="Arial"/>
            <family val="2"/>
          </rPr>
          <t xml:space="preserve">
TIC</t>
        </r>
        <r>
          <rPr>
            <sz val="10"/>
            <color rgb="FF000000"/>
            <rFont val="Arial"/>
            <family val="2"/>
          </rPr>
          <t xml:space="preserve">
SALUD</t>
        </r>
        <r>
          <rPr>
            <sz val="10"/>
            <color rgb="FF000000"/>
            <rFont val="Arial"/>
            <family val="2"/>
          </rPr>
          <t xml:space="preserve">
DEPORTE</t>
        </r>
        <r>
          <rPr>
            <sz val="10"/>
            <color rgb="FF000000"/>
            <rFont val="Arial"/>
            <family val="2"/>
          </rPr>
          <t xml:space="preserve">
EMPRESA</t>
        </r>
        <r>
          <rPr>
            <sz val="10"/>
            <color rgb="FF000000"/>
            <rFont val="Arial"/>
            <family val="2"/>
          </rPr>
          <t xml:space="preserve">
MAS</t>
        </r>
        <r>
          <rPr>
            <sz val="10"/>
            <color rgb="FF000000"/>
            <rFont val="Arial"/>
            <family val="2"/>
          </rPr>
          <t xml:space="preserve">
AGROALIMENTACIÓN</t>
        </r>
        <r>
          <rPr>
            <sz val="10"/>
            <color rgb="FF000000"/>
            <rFont val="Arial"/>
            <family val="2"/>
          </rPr>
          <t xml:space="preserve">
COMUNICACIÓN</t>
        </r>
        <r>
          <rPr>
            <sz val="10"/>
            <color rgb="FF000000"/>
            <rFont val="Arial"/>
            <family val="2"/>
          </rPr>
          <t xml:space="preserve">
PSICOLOGÍA</t>
        </r>
      </text>
    </comment>
    <comment ref="S1" authorId="0" shapeId="0" xr:uid="{E0959976-F1B4-4360-ADE8-D1E9B6CE4981}">
      <text>
        <r>
          <rPr>
            <sz val="10"/>
            <color rgb="FF000000"/>
            <rFont val="Arial"/>
            <family val="2"/>
          </rPr>
          <t>que sirvan para encuadrar el proyecto dentro de unas especializaciones no definidas todavia</t>
        </r>
      </text>
    </comment>
    <comment ref="T1" authorId="0" shapeId="0" xr:uid="{4411AF45-CDC2-4120-8E3D-23B031F87405}">
      <text>
        <r>
          <rPr>
            <sz val="10"/>
            <color rgb="FF000000"/>
            <rFont val="Arial"/>
            <family val="2"/>
          </rPr>
          <t>relación con programa de doctorado: ingeniería de proyectos, gestión, proyectos sostenibles, proyectos integrados, proyectos de tecnología industrial, TIC</t>
        </r>
      </text>
    </comment>
    <comment ref="U1" authorId="0" shapeId="0" xr:uid="{B472B1E2-EE82-41D8-A5A6-FA8C70306C97}">
      <text>
        <r>
          <rPr>
            <sz val="10"/>
            <color rgb="FF000000"/>
            <rFont val="Arial"/>
            <family val="2"/>
          </rPr>
          <t>relación con programa de doctorado: riesgos y beneficios, actividad física, lesiones, deporte, intervención físico-deportiva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</t>
        </r>
      </text>
    </comment>
    <comment ref="V1" authorId="0" shapeId="0" xr:uid="{CCFE195C-AEBB-4946-8756-301DCA72755C}">
      <text>
        <r>
          <rPr>
            <sz val="10"/>
            <color rgb="FF000000"/>
            <rFont val="Arial"/>
            <family val="2"/>
          </rPr>
          <t>relación con programa de doctorado: tecnologías emergentes, diseño de soluciones innovadoras, adopción ética y responsable de las tecnologías, estrategias de implementación, eficiencia empresarial</t>
        </r>
      </text>
    </comment>
    <comment ref="W1" authorId="0" shapeId="0" xr:uid="{62A38531-C658-491E-B239-C99DA9187F78}">
      <text>
        <r>
          <rPr>
            <sz val="10"/>
            <color rgb="FF000000"/>
            <rFont val="Arial"/>
            <family val="2"/>
          </rPr>
          <t>E-Entregado</t>
        </r>
        <r>
          <rPr>
            <sz val="10"/>
            <color rgb="FF000000"/>
            <rFont val="Arial"/>
            <family val="2"/>
          </rPr>
          <t xml:space="preserve">
O-Obtenido</t>
        </r>
        <r>
          <rPr>
            <sz val="10"/>
            <color rgb="FF000000"/>
            <rFont val="Arial"/>
            <family val="2"/>
          </rPr>
          <t xml:space="preserve">
F-Finalizado (obtenido y acabado)</t>
        </r>
        <r>
          <rPr>
            <sz val="10"/>
            <color rgb="FF000000"/>
            <rFont val="Arial"/>
            <family val="2"/>
          </rPr>
          <t xml:space="preserve">
D-Descartado (no entregado)</t>
        </r>
        <r>
          <rPr>
            <sz val="10"/>
            <color rgb="FF000000"/>
            <rFont val="Arial"/>
            <family val="2"/>
          </rPr>
          <t xml:space="preserve">
R-Rechazado (entregado y no obtenido)</t>
        </r>
        <r>
          <rPr>
            <sz val="10"/>
            <color rgb="FF000000"/>
            <rFont val="Arial"/>
            <family val="2"/>
          </rPr>
          <t xml:space="preserve">
I-Expresión de Interés</t>
        </r>
        <r>
          <rPr>
            <sz val="10"/>
            <color rgb="FF000000"/>
            <rFont val="Arial"/>
            <family val="2"/>
          </rPr>
          <t xml:space="preserve">
N-No aceptado (obtenido pero se  renuncia a la ayuda)</t>
        </r>
      </text>
    </comment>
    <comment ref="X1" authorId="0" shapeId="0" xr:uid="{50539353-2B44-4536-9F5F-7CEEC6951962}">
      <text>
        <r>
          <rPr>
            <sz val="10"/>
            <color rgb="FF000000"/>
            <rFont val="Arial"/>
            <family val="2"/>
          </rPr>
          <t xml:space="preserve">Notas de seguimiento : fechas de evalución, datos de evaluación, puntos obtenidos, motivos de rechazo o descarte de la propuesta... </t>
        </r>
      </text>
    </comment>
    <comment ref="AA1" authorId="0" shapeId="0" xr:uid="{B54D6C67-C978-4A20-876A-70E21FC86BA6}">
      <text>
        <r>
          <rPr>
            <sz val="10"/>
            <color rgb="FF000000"/>
            <rFont val="Arial"/>
            <family val="2"/>
          </rPr>
          <t>presupuesto total del proyecto</t>
        </r>
      </text>
    </comment>
    <comment ref="AB1" authorId="0" shapeId="0" xr:uid="{E50111EA-CADF-4A82-B0FB-031AD14F3577}">
      <text>
        <r>
          <rPr>
            <sz val="10"/>
            <color rgb="FF000000"/>
            <rFont val="Arial"/>
            <family val="2"/>
          </rPr>
          <t>Presupuesto adjudicado a Funiber, EDITORES, UNEAT, CITICAN, etc. del "PRESUPUESTO TOTAL"</t>
        </r>
      </text>
    </comment>
    <comment ref="AC1" authorId="0" shapeId="0" xr:uid="{8BC3210F-E41D-4A3B-912D-7BD2DBB1C30E}">
      <text>
        <r>
          <rPr>
            <sz val="10"/>
            <color rgb="FF000000"/>
            <rFont val="Arial"/>
            <family val="2"/>
          </rPr>
          <t xml:space="preserve">monto neto previsto </t>
        </r>
        <r>
          <rPr>
            <sz val="10"/>
            <color rgb="FF000000"/>
            <rFont val="Arial"/>
            <family val="2"/>
          </rPr>
          <t xml:space="preserve">
(u obtenido) para Funiber, IDPI, UNEAT, CITICAN, etc. sobre el "PRESUPUESTO PROPIO"</t>
        </r>
      </text>
    </comment>
    <comment ref="AH1" authorId="0" shapeId="0" xr:uid="{04943ED7-A861-4970-9972-54E4317C8C83}">
      <text>
        <r>
          <rPr>
            <sz val="10"/>
            <color rgb="FF000000"/>
            <rFont val="Arial"/>
            <family val="2"/>
          </rPr>
          <t>Participantes que constan en el proyecto y/o cuyos costes se justifican en el proyecto</t>
        </r>
      </text>
    </comment>
    <comment ref="AI1" authorId="0" shapeId="0" xr:uid="{78F91350-0431-415A-929F-8E13A715E94E}">
      <text>
        <r>
          <rPr>
            <sz val="10"/>
            <color rgb="FF000000"/>
            <rFont val="Arial"/>
            <family val="2"/>
          </rPr>
          <t>Participantes en el proyecto que dedican tiempo al mismo</t>
        </r>
      </text>
    </comment>
    <comment ref="AJ1" authorId="0" shapeId="0" xr:uid="{E8947E07-499C-4101-8933-975E4AECB09A}">
      <text>
        <r>
          <rPr>
            <sz val="10"/>
            <color rgb="FF000000"/>
            <rFont val="Arial"/>
            <family val="2"/>
          </rPr>
          <t>Descripción resumida del proyecto</t>
        </r>
      </text>
    </comment>
    <comment ref="AK1" authorId="0" shapeId="0" xr:uid="{19E767F4-E2EE-441E-ACFA-0D912C1BAB3A}">
      <text>
        <r>
          <rPr>
            <sz val="10"/>
            <color rgb="FF000000"/>
            <rFont val="Arial"/>
            <family val="2"/>
          </rPr>
          <t>Aportaciones o responsabilidades de FUNIBER/IDPI, etc.</t>
        </r>
      </text>
    </comment>
  </commentList>
</comments>
</file>

<file path=xl/sharedStrings.xml><?xml version="1.0" encoding="utf-8"?>
<sst xmlns="http://schemas.openxmlformats.org/spreadsheetml/2006/main" count="61" uniqueCount="59">
  <si>
    <t>CÓDIGO</t>
  </si>
  <si>
    <t>TÍTULO</t>
  </si>
  <si>
    <t>Título en otro idioma (INGLÉS o ESPAÑOL)</t>
  </si>
  <si>
    <t>Gestor/a de la propuesta de proyecto</t>
  </si>
  <si>
    <t>Gestor/a de Proyecto</t>
  </si>
  <si>
    <t>CONVOCATORIA</t>
  </si>
  <si>
    <t xml:space="preserve"> Entidad financiadora</t>
  </si>
  <si>
    <t>FECHA LIMITE</t>
  </si>
  <si>
    <t>Fecha clave (entrega o resolución)</t>
  </si>
  <si>
    <t>Curso (sep a agosto)</t>
  </si>
  <si>
    <t>FECHA ENTREGA</t>
  </si>
  <si>
    <t>Año de entrega</t>
  </si>
  <si>
    <t>FECHA RESOLUCIÓN</t>
  </si>
  <si>
    <t>Año resolución</t>
  </si>
  <si>
    <t>PAÍS</t>
  </si>
  <si>
    <t>TIPO de proyecto (Investigacion, inno, etc)</t>
  </si>
  <si>
    <t>TIPO de contrato (concurrencia competitiva/privados)</t>
  </si>
  <si>
    <t>AREA TEMATICA</t>
  </si>
  <si>
    <t>PALABRAS CLAVE</t>
  </si>
  <si>
    <t>PROYECTOS (doc)</t>
  </si>
  <si>
    <t>DEPORTE (doc)</t>
  </si>
  <si>
    <t>DISEÑO.TECNO  (doc)</t>
  </si>
  <si>
    <t>ESTADO</t>
  </si>
  <si>
    <t>SEGUIMIENTO DEL EXPEDIENTE</t>
  </si>
  <si>
    <t>LIDER</t>
  </si>
  <si>
    <t>SOCIOS</t>
  </si>
  <si>
    <t>PRESUPUESTO TOTAL</t>
  </si>
  <si>
    <t>PRESUPUESTO PROPIO</t>
  </si>
  <si>
    <t>SUBVENCIÓN PROPIA obtenida o prevista</t>
  </si>
  <si>
    <t>PRÉSTAMO PROPIO obtenido o previsto</t>
  </si>
  <si>
    <t>Fecha de inicio</t>
  </si>
  <si>
    <t>Fecha de fin</t>
  </si>
  <si>
    <t>Investigador principal o Coordinador del proyecto</t>
  </si>
  <si>
    <t>PARTICIPANTES (justificación)</t>
  </si>
  <si>
    <t>PARTICIPANTES (ejecución)</t>
  </si>
  <si>
    <t>Descripción</t>
  </si>
  <si>
    <t>Actividades propias y notas</t>
  </si>
  <si>
    <t>OBSERVACIONES (información reservada)</t>
  </si>
  <si>
    <t>2026-022</t>
  </si>
  <si>
    <t xml:space="preserve">Nombre propuesta y siglas 
</t>
  </si>
  <si>
    <t>Proposal name</t>
  </si>
  <si>
    <t>Nombre persona que presenta propuesta</t>
  </si>
  <si>
    <t>Nombre persona que gestiona proyecto si es concedido</t>
  </si>
  <si>
    <t>Ej. Resolución SOD/EC/20/26, de 30 de abril de 2026, por la que se aprueba la convocatoria para el año 2026 de las subvenciones del programa de fomento de la economía circular, promovido por SODERCAN, S.A</t>
  </si>
  <si>
    <t>Ej. SODERCAN</t>
  </si>
  <si>
    <t>España</t>
  </si>
  <si>
    <t>INV</t>
  </si>
  <si>
    <t>CC</t>
  </si>
  <si>
    <t>AGROALIMENTACIÓN</t>
  </si>
  <si>
    <t>proteina, galleta, bizocho, valorización</t>
  </si>
  <si>
    <t>NO</t>
  </si>
  <si>
    <t>E-Entregado</t>
  </si>
  <si>
    <t>proyecto numero 7, 300.000 euros disponibles en la convocatoria
actualización 10/08/2026</t>
  </si>
  <si>
    <t>CITICAN</t>
  </si>
  <si>
    <t>UNEATLANTICO</t>
  </si>
  <si>
    <t>Nombre</t>
  </si>
  <si>
    <t>Nombre (personas que aparecen en propuesta)</t>
  </si>
  <si>
    <t>Nombre (personas que realizarán el proyecto)</t>
  </si>
  <si>
    <t>Resumen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</si>
</sst>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[$€]"/>
  </numFmts>
  <fonts count="12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sz val="6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&quot;Arial&quot;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2" borderId="0" applyNumberFormat="0" applyFon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Font="0" applyBorder="0" applyAlignment="0" applyProtection="0"/>
    <xf numFmtId="0" fontId="1" fillId="5" borderId="0" applyNumberFormat="0" applyFont="0" applyBorder="0" applyAlignment="0" applyProtection="0"/>
    <xf numFmtId="0" fontId="1" fillId="6" borderId="0" applyNumberFormat="0" applyFont="0" applyBorder="0" applyAlignment="0" applyProtection="0"/>
  </cellStyleXfs>
  <cellXfs count="31">
    <xf numFmtId="0" fontId="0" fillId="0" borderId="0" xfId="0"/>
    <xf numFmtId="49" fontId="3" fillId="4" borderId="1" xfId="0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0" fillId="0" borderId="0" xfId="0" applyAlignment="1">
      <alignment wrapText="1"/>
    </xf>
    <xf numFmtId="49" fontId="10" fillId="7" borderId="1" xfId="0" applyNumberFormat="1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horizontal="left" vertical="top" wrapText="1"/>
    </xf>
    <xf numFmtId="1" fontId="5" fillId="8" borderId="1" xfId="0" applyNumberFormat="1" applyFont="1" applyFill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6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165" fontId="11" fillId="7" borderId="1" xfId="0" applyNumberFormat="1" applyFont="1" applyFill="1" applyBorder="1" applyAlignment="1">
      <alignment vertical="top" wrapText="1"/>
    </xf>
    <xf numFmtId="14" fontId="6" fillId="7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7" borderId="2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</cellXfs>
  <cellStyles count="6">
    <cellStyle name="cf1" xfId="1" xr:uid="{75B96144-1916-45B3-ACFE-CAEE7F4AC97C}"/>
    <cellStyle name="cf2" xfId="2" xr:uid="{6EF802A5-0773-40F9-85F9-59248DB93CB8}"/>
    <cellStyle name="cf3" xfId="3" xr:uid="{384D287C-9EC5-4386-9E73-1FC629B669DB}"/>
    <cellStyle name="cf4" xfId="4" xr:uid="{28EB8A6A-FFB3-467D-BF2F-ACA078C40D29}"/>
    <cellStyle name="cf5" xfId="5" xr:uid="{521A1723-9D7D-40F1-9217-A4E463D8D377}"/>
    <cellStyle name="Normal" xfId="0" builtinId="0" customBuiltin="1"/>
  </cellStyles>
  <dxfs count="20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family val="2"/>
      </font>
      <fill>
        <patternFill patternType="solid">
          <fgColor rgb="FF93C47D"/>
          <bgColor rgb="FF93C47D"/>
        </patternFill>
      </fill>
    </dxf>
    <dxf>
      <font>
        <b/>
        <family val="2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family val="2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family val="2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C9DAF8"/>
          <bgColor rgb="FFC9DA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BD391-C414-495F-AEB0-C97B69039A86}">
  <dimension ref="A1:AL2"/>
  <sheetViews>
    <sheetView tabSelected="1" workbookViewId="0"/>
  </sheetViews>
  <sheetFormatPr baseColWidth="10" defaultRowHeight="15"/>
  <cols>
    <col min="1" max="1" width="10.5703125" customWidth="1"/>
    <col min="2" max="2" width="28" customWidth="1"/>
    <col min="3" max="5" width="11.42578125" customWidth="1"/>
    <col min="6" max="6" width="21.140625" customWidth="1"/>
    <col min="7" max="8" width="11.42578125" customWidth="1"/>
    <col min="9" max="9" width="17.42578125" customWidth="1"/>
    <col min="10" max="26" width="11.42578125" customWidth="1"/>
    <col min="27" max="27" width="12.42578125" bestFit="1" customWidth="1"/>
    <col min="28" max="28" width="18" customWidth="1"/>
    <col min="29" max="29" width="13.7109375" customWidth="1"/>
    <col min="30" max="30" width="11.42578125" customWidth="1"/>
  </cols>
  <sheetData>
    <row r="1" spans="1:38" s="11" customFormat="1" ht="90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</row>
    <row r="2" spans="1:38" s="11" customFormat="1" ht="143.25" customHeight="1">
      <c r="A2" s="12" t="s">
        <v>38</v>
      </c>
      <c r="B2" s="13" t="s">
        <v>39</v>
      </c>
      <c r="C2" s="14" t="s">
        <v>40</v>
      </c>
      <c r="D2" s="15" t="s">
        <v>41</v>
      </c>
      <c r="E2" s="15" t="s">
        <v>42</v>
      </c>
      <c r="F2" s="16" t="s">
        <v>43</v>
      </c>
      <c r="G2" s="17" t="s">
        <v>44</v>
      </c>
      <c r="H2" s="18">
        <v>46244</v>
      </c>
      <c r="I2" s="18">
        <v>46241</v>
      </c>
      <c r="J2" s="19">
        <f>2026</f>
        <v>2026</v>
      </c>
      <c r="K2" s="18">
        <v>46241</v>
      </c>
      <c r="L2" s="19">
        <f>YEAR(K2)</f>
        <v>2026</v>
      </c>
      <c r="M2" s="20">
        <v>46371</v>
      </c>
      <c r="N2" s="19">
        <f>YEAR(M2)</f>
        <v>2026</v>
      </c>
      <c r="O2" s="14" t="s">
        <v>45</v>
      </c>
      <c r="P2" s="14" t="s">
        <v>46</v>
      </c>
      <c r="Q2" s="21" t="s">
        <v>47</v>
      </c>
      <c r="R2" s="21" t="s">
        <v>48</v>
      </c>
      <c r="S2" s="22" t="s">
        <v>49</v>
      </c>
      <c r="T2" s="23" t="s">
        <v>50</v>
      </c>
      <c r="U2" s="23" t="s">
        <v>50</v>
      </c>
      <c r="V2" s="23" t="s">
        <v>50</v>
      </c>
      <c r="W2" s="24" t="s">
        <v>51</v>
      </c>
      <c r="X2" s="22" t="s">
        <v>52</v>
      </c>
      <c r="Y2" s="25" t="s">
        <v>53</v>
      </c>
      <c r="Z2" s="17" t="s">
        <v>54</v>
      </c>
      <c r="AA2" s="26">
        <v>100000</v>
      </c>
      <c r="AB2" s="26">
        <f>AA2</f>
        <v>100000</v>
      </c>
      <c r="AC2" s="26">
        <v>50000</v>
      </c>
      <c r="AD2" s="26">
        <v>0</v>
      </c>
      <c r="AE2" s="27">
        <v>46419</v>
      </c>
      <c r="AF2" s="27">
        <v>46784</v>
      </c>
      <c r="AG2" s="14" t="s">
        <v>55</v>
      </c>
      <c r="AH2" s="14" t="s">
        <v>56</v>
      </c>
      <c r="AI2" s="14" t="s">
        <v>57</v>
      </c>
      <c r="AJ2" s="28" t="s">
        <v>58</v>
      </c>
      <c r="AK2" s="29"/>
      <c r="AL2" s="30"/>
    </row>
  </sheetData>
  <conditionalFormatting sqref="A1:AL1">
    <cfRule type="expression" dxfId="9" priority="3" stopIfTrue="1">
      <formula>ISNUMBER(SEARCH("Descartado",$W1:$W516))</formula>
    </cfRule>
  </conditionalFormatting>
  <conditionalFormatting sqref="A2:AL2">
    <cfRule type="expression" dxfId="8" priority="8" stopIfTrue="1">
      <formula>ISNUMBER(SEARCH("Descartado",$W2:$W517))</formula>
    </cfRule>
  </conditionalFormatting>
  <conditionalFormatting sqref="A1:AL1">
    <cfRule type="expression" dxfId="7" priority="1" stopIfTrue="1">
      <formula>ISNUMBER(SEARCH("Entregado",$W1:$W516))</formula>
    </cfRule>
  </conditionalFormatting>
  <conditionalFormatting sqref="A2:AL2">
    <cfRule type="expression" dxfId="6" priority="6" stopIfTrue="1">
      <formula>ISNUMBER(SEARCH("Entregado",$W2:$W517))</formula>
    </cfRule>
  </conditionalFormatting>
  <conditionalFormatting sqref="A1:AL1">
    <cfRule type="expression" dxfId="5" priority="5" stopIfTrue="1">
      <formula>ISNUMBER(SEARCH("Finalizado",$W1:$W516))</formula>
    </cfRule>
  </conditionalFormatting>
  <conditionalFormatting sqref="A2:AL2">
    <cfRule type="expression" dxfId="4" priority="10" stopIfTrue="1">
      <formula>ISNUMBER(SEARCH("Finalizado",$W2:$W517))</formula>
    </cfRule>
  </conditionalFormatting>
  <conditionalFormatting sqref="A1:AL1">
    <cfRule type="expression" dxfId="3" priority="2" stopIfTrue="1">
      <formula>ISNUMBER(SEARCH("Obtenido",$W1:$W516))</formula>
    </cfRule>
  </conditionalFormatting>
  <conditionalFormatting sqref="A2:AL2">
    <cfRule type="expression" dxfId="2" priority="7" stopIfTrue="1">
      <formula>ISNUMBER(SEARCH("Obtenido",$W2:$W517))</formula>
    </cfRule>
  </conditionalFormatting>
  <conditionalFormatting sqref="A1:AL1">
    <cfRule type="expression" dxfId="1" priority="4" stopIfTrue="1">
      <formula>ISNUMBER(SEARCH("Rechazado",$W1:$W516))</formula>
    </cfRule>
  </conditionalFormatting>
  <conditionalFormatting sqref="A2:AL2">
    <cfRule type="expression" dxfId="0" priority="9" stopIfTrue="1">
      <formula>ISNUMBER(SEARCH("Rechazado",$W2:$W517))</formula>
    </cfRule>
  </conditionalFormatting>
  <dataValidations count="1">
    <dataValidation type="list" allowBlank="1" showErrorMessage="1" sqref="T2:V2" xr:uid="{F2E9C987-90AB-43F0-8013-8084FF9EE2CE}">
      <formula1>"SI,ALGO,NO"</formula1>
    </dataValidation>
  </dataValidations>
  <pageMargins left="0.70000000000000007" right="0.70000000000000007" top="0.75" bottom="0.75" header="0.30000000000000004" footer="0.30000000000000004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 Pacheco Herrero</dc:creator>
  <cp:lastModifiedBy>Mar Pacheco Herrero</cp:lastModifiedBy>
  <dcterms:created xsi:type="dcterms:W3CDTF">2026-10-29T10:51:58Z</dcterms:created>
  <dcterms:modified xsi:type="dcterms:W3CDTF">2026-10-30T11:20:17Z</dcterms:modified>
</cp:coreProperties>
</file>